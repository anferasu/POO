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dresRamos\Documents\poo\m1\u1\ejercicios\20191118\"/>
    </mc:Choice>
  </mc:AlternateContent>
  <bookViews>
    <workbookView xWindow="0" yWindow="0" windowWidth="28800" windowHeight="12330" activeTab="5"/>
  </bookViews>
  <sheets>
    <sheet name="Productos" sheetId="3" r:id="rId1"/>
    <sheet name="Clientes" sheetId="5" r:id="rId2"/>
    <sheet name="Consulta" sheetId="6" r:id="rId3"/>
    <sheet name="Albarán" sheetId="7" r:id="rId4"/>
    <sheet name="Gráfico" sheetId="20" r:id="rId5"/>
    <sheet name="Factura" sheetId="10" r:id="rId6"/>
  </sheets>
  <externalReferences>
    <externalReference r:id="rId7"/>
  </externalReferences>
  <definedNames>
    <definedName name="Clientes">Clientes!$A$1:$F$7</definedName>
    <definedName name="Productos">Productos!$A$1:$C$18</definedName>
  </definedNames>
  <calcPr calcId="162913"/>
</workbook>
</file>

<file path=xl/calcChain.xml><?xml version="1.0" encoding="utf-8"?>
<calcChain xmlns="http://schemas.openxmlformats.org/spreadsheetml/2006/main">
  <c r="B9" i="10" l="1"/>
  <c r="B8" i="10"/>
  <c r="B7" i="10"/>
  <c r="B6" i="10"/>
  <c r="C13" i="10"/>
  <c r="E13" i="10" s="1"/>
  <c r="C14" i="10"/>
  <c r="E14" i="10" s="1"/>
  <c r="C15" i="10"/>
  <c r="E15" i="10" s="1"/>
  <c r="C16" i="10"/>
  <c r="E16" i="10" s="1"/>
  <c r="C17" i="10"/>
  <c r="E17" i="10" s="1"/>
  <c r="C18" i="10"/>
  <c r="E18" i="10" s="1"/>
  <c r="C19" i="10"/>
  <c r="E19" i="10" s="1"/>
  <c r="C20" i="10"/>
  <c r="E20" i="10" s="1"/>
  <c r="C21" i="10"/>
  <c r="E21" i="10" s="1"/>
  <c r="C12" i="10"/>
  <c r="E12" i="10" s="1"/>
  <c r="B13" i="10"/>
  <c r="B14" i="10"/>
  <c r="B15" i="10"/>
  <c r="B16" i="10"/>
  <c r="B17" i="10"/>
  <c r="B18" i="10"/>
  <c r="B19" i="10"/>
  <c r="B20" i="10"/>
  <c r="B21" i="10"/>
  <c r="B12" i="10"/>
  <c r="B16" i="7"/>
  <c r="A30" i="10"/>
  <c r="A23" i="10"/>
  <c r="E22" i="10"/>
  <c r="D22" i="10"/>
  <c r="C22" i="10"/>
  <c r="B22" i="10"/>
  <c r="A22" i="10"/>
  <c r="C29" i="10" s="1"/>
  <c r="E24" i="10" l="1"/>
  <c r="E26" i="10" s="1"/>
  <c r="E25" i="10" l="1"/>
  <c r="E27" i="10" s="1"/>
  <c r="C4" i="6" l="1"/>
  <c r="C5" i="6"/>
  <c r="C6" i="6"/>
  <c r="B8" i="7" l="1"/>
  <c r="C8" i="7"/>
  <c r="B9" i="7"/>
  <c r="C9" i="7"/>
  <c r="B10" i="7"/>
  <c r="C10" i="7"/>
  <c r="B11" i="7"/>
  <c r="C11" i="7"/>
  <c r="B12" i="7"/>
  <c r="C12" i="7"/>
  <c r="B13" i="7"/>
  <c r="C13" i="7"/>
  <c r="B14" i="7"/>
  <c r="C14" i="7"/>
  <c r="B15" i="7"/>
  <c r="C15" i="7"/>
  <c r="C16" i="7"/>
  <c r="C7" i="7"/>
  <c r="B7" i="7"/>
  <c r="C16" i="6"/>
  <c r="C15" i="6"/>
  <c r="C14" i="6"/>
  <c r="C13" i="6"/>
  <c r="C12" i="6"/>
  <c r="C11" i="6"/>
  <c r="B2" i="7"/>
</calcChain>
</file>

<file path=xl/sharedStrings.xml><?xml version="1.0" encoding="utf-8"?>
<sst xmlns="http://schemas.openxmlformats.org/spreadsheetml/2006/main" count="103" uniqueCount="86">
  <si>
    <t>Codigo Artículo</t>
  </si>
  <si>
    <t>Descripción</t>
  </si>
  <si>
    <t>Precio</t>
  </si>
  <si>
    <t>Packard Bell SPIRIT II 9800</t>
  </si>
  <si>
    <t>Módem Blaster Externo 56k</t>
  </si>
  <si>
    <t>Reposamuñecas Boeder</t>
  </si>
  <si>
    <t>Altavoces PC 200w Creative</t>
  </si>
  <si>
    <t>DVD Rom 12x Encore+Dxr3 Con Creative</t>
  </si>
  <si>
    <t>SCANJET 5370C HP</t>
  </si>
  <si>
    <t>Escaner SCANJET 3300 HP</t>
  </si>
  <si>
    <t>Epson Perfection 610</t>
  </si>
  <si>
    <t>Epson Perfection 124u Photo Edición
Especial</t>
  </si>
  <si>
    <t>Compacq Presario 1400 XI352 Celeron 
600 Mhz</t>
  </si>
  <si>
    <t>iMac DV Special Edition a 500 Mhz.</t>
  </si>
  <si>
    <t>Toshiba Equium 3300 Intel Pentium III</t>
  </si>
  <si>
    <t>Acer Travelmate 739 TLV</t>
  </si>
  <si>
    <t>Regrabadora CD 8x4x32</t>
  </si>
  <si>
    <t>Lexmark Z 32 Inyección tinta</t>
  </si>
  <si>
    <t>Ratón boeder 205</t>
  </si>
  <si>
    <t>Cable Impresora bidireccional</t>
  </si>
  <si>
    <t>Nombre</t>
  </si>
  <si>
    <t>Apellidos</t>
  </si>
  <si>
    <t>Dirección</t>
  </si>
  <si>
    <t>Población</t>
  </si>
  <si>
    <t>DNI</t>
  </si>
  <si>
    <t xml:space="preserve">Federico </t>
  </si>
  <si>
    <t>Trillo Trillo</t>
  </si>
  <si>
    <t>Albacete</t>
  </si>
  <si>
    <t>María Jose</t>
  </si>
  <si>
    <t>Aznar Gote</t>
  </si>
  <si>
    <t>54545454-R</t>
  </si>
  <si>
    <t>13141516-K</t>
  </si>
  <si>
    <t>Valladolid</t>
  </si>
  <si>
    <t>Juan</t>
  </si>
  <si>
    <t>Cuesta Perez</t>
  </si>
  <si>
    <t>14141414-T</t>
  </si>
  <si>
    <t>Madrid</t>
  </si>
  <si>
    <t>Código cliente</t>
  </si>
  <si>
    <t>C01</t>
  </si>
  <si>
    <t>C02</t>
  </si>
  <si>
    <t>C03</t>
  </si>
  <si>
    <t>C04</t>
  </si>
  <si>
    <t>C05</t>
  </si>
  <si>
    <t>C06</t>
  </si>
  <si>
    <t>Sidgur</t>
  </si>
  <si>
    <t>Rushfeld García</t>
  </si>
  <si>
    <t>20202122-Q</t>
  </si>
  <si>
    <t>Santander</t>
  </si>
  <si>
    <t>Antonio</t>
  </si>
  <si>
    <t>Molina Sánchez</t>
  </si>
  <si>
    <t>36363636-L</t>
  </si>
  <si>
    <t>Calle Trinidad, 24</t>
  </si>
  <si>
    <t>Calle Noruega, 2</t>
  </si>
  <si>
    <t>Calle Desengaño, 76</t>
  </si>
  <si>
    <t>Calle Azores, 123</t>
  </si>
  <si>
    <t>Calle Honduras, 34</t>
  </si>
  <si>
    <t>Belén</t>
  </si>
  <si>
    <t>Zapatero Zaplana</t>
  </si>
  <si>
    <t>25252525-U</t>
  </si>
  <si>
    <t>Calle Movida, 100</t>
  </si>
  <si>
    <t>Barcelona</t>
  </si>
  <si>
    <t>CONSULTA DE PRODUCTOS</t>
  </si>
  <si>
    <t>Código artículo buscado</t>
  </si>
  <si>
    <t>Código artículo encontrado</t>
  </si>
  <si>
    <t>CONSULTA CLIENTES</t>
  </si>
  <si>
    <t>Código cliente buscado</t>
  </si>
  <si>
    <t>Código cliente encontrado</t>
  </si>
  <si>
    <t>Código Cliente</t>
  </si>
  <si>
    <t>Fecha</t>
  </si>
  <si>
    <t>Articulos</t>
  </si>
  <si>
    <t>Código</t>
  </si>
  <si>
    <t xml:space="preserve">Descripción </t>
  </si>
  <si>
    <t>Cantidad</t>
  </si>
  <si>
    <t>ALPE COMPUTER</t>
  </si>
  <si>
    <t>PASAJE DE PEÑA, 1</t>
  </si>
  <si>
    <t>SANTANDER (CANTABRIA)</t>
  </si>
  <si>
    <t>Articulo</t>
  </si>
  <si>
    <t>Total</t>
  </si>
  <si>
    <t>Cliente:</t>
  </si>
  <si>
    <t>Dni:</t>
  </si>
  <si>
    <t>Nombre Apellido</t>
  </si>
  <si>
    <t>Subtotal</t>
  </si>
  <si>
    <t>Descuento</t>
  </si>
  <si>
    <t>IVA</t>
  </si>
  <si>
    <t>TOTAL</t>
  </si>
  <si>
    <t>No de artículos Vendidos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</si>
</sst>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-* #,##0.00\ [$€-1]_-;\-* #,##0.00\ [$€-1]_-;_-* &quot;-&quot;??\ [$€-1]_-"/>
    <numFmt numFmtId="165" formatCode="#,##0\ [$€-1];\-#,##0\ [$€-1]"/>
    <numFmt numFmtId="166" formatCode="#,##0.00\ [$€-1]"/>
    <numFmt numFmtId="167" formatCode="#,##0.00\ &quot;€&quot;"/>
    <numFmt numFmtId="168" formatCode="dd/mm/yy"/>
    <numFmt numFmtId="169" formatCode="[$-F800]dddd\,\ mmmm\ dd\,\ yyyy"/>
  </numFmts>
  <fonts count="6" x14ac:knownFonts="1">
    <font>
      <sz val="10"/>
      <name val="Arial"/>
    </font>
    <font>
      <sz val="10"/>
      <name val="Arial"/>
    </font>
    <font>
      <b/>
      <sz val="10"/>
      <name val="Arial"/>
      <family val="2"/>
    </font>
    <font>
      <sz val="8"/>
      <name val="Arial"/>
    </font>
    <font>
      <sz val="10"/>
      <name val="Arial"/>
      <family val="2"/>
    </font>
    <font>
      <sz val="10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</fills>
  <borders count="38">
    <border>
      <left/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4" fillId="0" borderId="0"/>
  </cellStyleXfs>
  <cellXfs count="68">
    <xf numFmtId="0" fontId="0" fillId="0" borderId="0" xfId="0"/>
    <xf numFmtId="165" fontId="0" fillId="0" borderId="0" xfId="0" applyNumberFormat="1"/>
    <xf numFmtId="0" fontId="2" fillId="0" borderId="0" xfId="0" applyFont="1" applyAlignment="1">
      <alignment horizontal="center"/>
    </xf>
    <xf numFmtId="166" fontId="0" fillId="2" borderId="1" xfId="0" applyNumberFormat="1" applyFill="1" applyBorder="1"/>
    <xf numFmtId="166" fontId="0" fillId="2" borderId="2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3" xfId="0" applyFill="1" applyBorder="1" applyAlignment="1">
      <alignment wrapText="1"/>
    </xf>
    <xf numFmtId="0" fontId="2" fillId="2" borderId="5" xfId="0" applyFont="1" applyFill="1" applyBorder="1"/>
    <xf numFmtId="0" fontId="2" fillId="2" borderId="6" xfId="0" applyFont="1" applyFill="1" applyBorder="1"/>
    <xf numFmtId="0" fontId="4" fillId="0" borderId="12" xfId="0" applyFont="1" applyBorder="1"/>
    <xf numFmtId="0" fontId="4" fillId="0" borderId="13" xfId="0" applyFont="1" applyBorder="1"/>
    <xf numFmtId="0" fontId="4" fillId="0" borderId="11" xfId="0" applyFont="1" applyBorder="1" applyAlignment="1">
      <alignment horizontal="center"/>
    </xf>
    <xf numFmtId="0" fontId="0" fillId="0" borderId="14" xfId="0" applyBorder="1"/>
    <xf numFmtId="0" fontId="0" fillId="0" borderId="15" xfId="0" applyBorder="1"/>
    <xf numFmtId="167" fontId="0" fillId="0" borderId="14" xfId="0" applyNumberFormat="1" applyBorder="1"/>
    <xf numFmtId="167" fontId="0" fillId="0" borderId="15" xfId="0" applyNumberFormat="1" applyBorder="1"/>
    <xf numFmtId="0" fontId="4" fillId="0" borderId="17" xfId="0" applyFont="1" applyBorder="1" applyAlignment="1">
      <alignment horizontal="center"/>
    </xf>
    <xf numFmtId="0" fontId="4" fillId="0" borderId="0" xfId="2"/>
    <xf numFmtId="0" fontId="4" fillId="0" borderId="0" xfId="2" applyFont="1"/>
    <xf numFmtId="0" fontId="5" fillId="4" borderId="0" xfId="2" applyFont="1" applyFill="1" applyAlignment="1">
      <alignment horizontal="center"/>
    </xf>
    <xf numFmtId="167" fontId="4" fillId="0" borderId="0" xfId="2" applyNumberFormat="1"/>
    <xf numFmtId="0" fontId="2" fillId="0" borderId="0" xfId="2" applyFont="1"/>
    <xf numFmtId="167" fontId="5" fillId="4" borderId="24" xfId="2" applyNumberFormat="1" applyFont="1" applyFill="1" applyBorder="1"/>
    <xf numFmtId="167" fontId="5" fillId="4" borderId="25" xfId="2" applyNumberFormat="1" applyFont="1" applyFill="1" applyBorder="1"/>
    <xf numFmtId="167" fontId="5" fillId="4" borderId="26" xfId="2" applyNumberFormat="1" applyFont="1" applyFill="1" applyBorder="1"/>
    <xf numFmtId="0" fontId="4" fillId="0" borderId="29" xfId="2" applyFont="1" applyBorder="1" applyAlignment="1">
      <alignment horizontal="center"/>
    </xf>
    <xf numFmtId="0" fontId="4" fillId="0" borderId="0" xfId="2" applyAlignment="1">
      <alignment horizontal="left"/>
    </xf>
    <xf numFmtId="0" fontId="4" fillId="0" borderId="15" xfId="2" applyBorder="1"/>
    <xf numFmtId="167" fontId="4" fillId="0" borderId="15" xfId="2" applyNumberFormat="1" applyBorder="1"/>
    <xf numFmtId="0" fontId="4" fillId="0" borderId="34" xfId="2" applyFont="1" applyBorder="1"/>
    <xf numFmtId="0" fontId="4" fillId="0" borderId="35" xfId="2" applyFont="1" applyBorder="1"/>
    <xf numFmtId="0" fontId="4" fillId="0" borderId="36" xfId="2" applyFont="1" applyBorder="1"/>
    <xf numFmtId="0" fontId="2" fillId="3" borderId="7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0" fillId="0" borderId="5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" xfId="0" applyBorder="1" applyAlignment="1">
      <alignment horizontal="center"/>
    </xf>
    <xf numFmtId="167" fontId="0" fillId="0" borderId="4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0" xfId="0" applyBorder="1" applyAlignment="1">
      <alignment horizontal="left"/>
    </xf>
    <xf numFmtId="0" fontId="4" fillId="0" borderId="11" xfId="0" applyFont="1" applyBorder="1" applyAlignment="1">
      <alignment horizontal="center"/>
    </xf>
    <xf numFmtId="0" fontId="0" fillId="0" borderId="12" xfId="0" applyBorder="1" applyAlignment="1">
      <alignment horizontal="center"/>
    </xf>
    <xf numFmtId="168" fontId="0" fillId="0" borderId="13" xfId="0" applyNumberFormat="1" applyBorder="1" applyAlignment="1">
      <alignment horizontal="center"/>
    </xf>
    <xf numFmtId="0" fontId="4" fillId="0" borderId="16" xfId="2" applyFont="1" applyBorder="1" applyAlignment="1">
      <alignment horizontal="center"/>
    </xf>
    <xf numFmtId="0" fontId="4" fillId="0" borderId="17" xfId="2" applyFont="1" applyBorder="1" applyAlignment="1">
      <alignment horizontal="center"/>
    </xf>
    <xf numFmtId="0" fontId="4" fillId="0" borderId="18" xfId="2" applyFont="1" applyBorder="1" applyAlignment="1">
      <alignment horizontal="center"/>
    </xf>
    <xf numFmtId="0" fontId="4" fillId="0" borderId="19" xfId="2" applyFont="1" applyBorder="1" applyAlignment="1">
      <alignment horizontal="center"/>
    </xf>
    <xf numFmtId="0" fontId="4" fillId="0" borderId="0" xfId="2" applyFont="1" applyBorder="1" applyAlignment="1">
      <alignment horizontal="center"/>
    </xf>
    <xf numFmtId="0" fontId="4" fillId="0" borderId="20" xfId="2" applyFont="1" applyBorder="1" applyAlignment="1">
      <alignment horizontal="center"/>
    </xf>
    <xf numFmtId="0" fontId="4" fillId="0" borderId="21" xfId="2" applyFont="1" applyBorder="1" applyAlignment="1">
      <alignment horizontal="center"/>
    </xf>
    <xf numFmtId="0" fontId="4" fillId="0" borderId="22" xfId="2" applyFont="1" applyBorder="1" applyAlignment="1">
      <alignment horizontal="center"/>
    </xf>
    <xf numFmtId="0" fontId="4" fillId="0" borderId="23" xfId="2" applyFont="1" applyBorder="1" applyAlignment="1">
      <alignment horizontal="center"/>
    </xf>
    <xf numFmtId="0" fontId="4" fillId="0" borderId="27" xfId="2" applyFont="1" applyBorder="1" applyAlignment="1">
      <alignment horizontal="right"/>
    </xf>
    <xf numFmtId="0" fontId="4" fillId="0" borderId="28" xfId="2" applyFont="1" applyBorder="1" applyAlignment="1">
      <alignment horizontal="right"/>
    </xf>
    <xf numFmtId="169" fontId="4" fillId="0" borderId="27" xfId="2" applyNumberFormat="1" applyBorder="1" applyAlignment="1">
      <alignment horizontal="center"/>
    </xf>
    <xf numFmtId="169" fontId="4" fillId="0" borderId="28" xfId="2" applyNumberFormat="1" applyBorder="1" applyAlignment="1">
      <alignment horizontal="center"/>
    </xf>
    <xf numFmtId="169" fontId="4" fillId="0" borderId="29" xfId="2" applyNumberFormat="1" applyBorder="1" applyAlignment="1">
      <alignment horizontal="center"/>
    </xf>
    <xf numFmtId="0" fontId="4" fillId="0" borderId="33" xfId="2" applyBorder="1" applyAlignment="1">
      <alignment horizontal="center"/>
    </xf>
    <xf numFmtId="0" fontId="4" fillId="0" borderId="37" xfId="2" applyBorder="1" applyAlignment="1">
      <alignment horizontal="center"/>
    </xf>
    <xf numFmtId="0" fontId="4" fillId="0" borderId="32" xfId="2" applyBorder="1" applyAlignment="1">
      <alignment horizontal="center"/>
    </xf>
  </cellXfs>
  <cellStyles count="3">
    <cellStyle name="Euro" xfId="1"/>
    <cellStyle name="Normal" xfId="0" builtinId="0"/>
    <cellStyle name="Normal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ALPE COMPUTER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7C8-43C5-A064-56262FDCA23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7C8-43C5-A064-56262FDCA23A}"/>
              </c:ext>
            </c:extLst>
          </c:dPt>
          <c:dPt>
            <c:idx val="2"/>
            <c:bubble3D val="0"/>
            <c:explosion val="2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C7C8-43C5-A064-56262FDCA23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C7C8-43C5-A064-56262FDCA23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C7C8-43C5-A064-56262FDCA23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C7C8-43C5-A064-56262FDCA23A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C7C8-43C5-A064-56262FDCA23A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C7C8-43C5-A064-56262FDCA23A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C7C8-43C5-A064-56262FDCA23A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C7C8-43C5-A064-56262FDCA23A}"/>
              </c:ext>
            </c:extLst>
          </c:dPt>
          <c:cat>
            <c:strRef>
              <c:f>Factura!$B$12:$B$21</c:f>
              <c:strCache>
                <c:ptCount val="10"/>
                <c:pt idx="0">
                  <c:v>DVD Rom 12x Encore+Dxr3 Con Creative</c:v>
                </c:pt>
                <c:pt idx="1">
                  <c:v>Epson Perfection 610</c:v>
                </c:pt>
                <c:pt idx="2">
                  <c:v>Compacq Presario 1400 XI352 Celeron 
600 Mhz</c:v>
                </c:pt>
                <c:pt idx="3">
                  <c:v>Reposamuñecas Boeder</c:v>
                </c:pt>
                <c:pt idx="4">
                  <c:v>Ratón boeder 205</c:v>
                </c:pt>
                <c:pt idx="5">
                  <c:v>Packard Bell SPIRIT II 9800</c:v>
                </c:pt>
                <c:pt idx="6">
                  <c:v>iMac DV Special Edition a 500 Mhz.</c:v>
                </c:pt>
                <c:pt idx="7">
                  <c:v>Toshiba Equium 3300 Intel Pentium III</c:v>
                </c:pt>
                <c:pt idx="8">
                  <c:v>Lexmark Z 32 Inyección tinta</c:v>
                </c:pt>
                <c:pt idx="9">
                  <c:v>Cable Impresora bidireccional</c:v>
                </c:pt>
              </c:strCache>
            </c:strRef>
          </c:cat>
          <c:val>
            <c:numRef>
              <c:f>Factura!$E$12:$E$21</c:f>
              <c:numCache>
                <c:formatCode>#,##0.00\ "€"</c:formatCode>
                <c:ptCount val="10"/>
                <c:pt idx="0">
                  <c:v>267.45038645078313</c:v>
                </c:pt>
                <c:pt idx="1">
                  <c:v>109.56450662916352</c:v>
                </c:pt>
                <c:pt idx="2">
                  <c:v>4265.9839169160869</c:v>
                </c:pt>
                <c:pt idx="3">
                  <c:v>3.1192528217518301</c:v>
                </c:pt>
                <c:pt idx="4">
                  <c:v>18.030363131513468</c:v>
                </c:pt>
                <c:pt idx="5">
                  <c:v>2797.6812953012873</c:v>
                </c:pt>
                <c:pt idx="6">
                  <c:v>1472.4796557402667</c:v>
                </c:pt>
                <c:pt idx="7">
                  <c:v>1291.5750123207481</c:v>
                </c:pt>
                <c:pt idx="8">
                  <c:v>107.58116668469704</c:v>
                </c:pt>
                <c:pt idx="9">
                  <c:v>21.636435757816162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7C8-43C5-A064-56262FDCA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3" workbookViewId="0" zoomToFit="1"/>
  </sheetViews>
  <pageMargins left="0.7" right="0.7" top="0.75" bottom="0.75" header="0.3" footer="0.3"/>
  <drawing r:id="rId1"/>
</chartsheet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1</xdr:row>
          <xdr:rowOff>0</xdr:rowOff>
        </xdr:from>
        <xdr:to>
          <xdr:col>8</xdr:col>
          <xdr:colOff>9525</xdr:colOff>
          <xdr:row>3</xdr:row>
          <xdr:rowOff>85725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476250</xdr:colOff>
          <xdr:row>0</xdr:row>
          <xdr:rowOff>142875</xdr:rowOff>
        </xdr:from>
        <xdr:to>
          <xdr:col>6</xdr:col>
          <xdr:colOff>561975</xdr:colOff>
          <xdr:row>3</xdr:row>
          <xdr:rowOff>57150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3</xdr:row>
          <xdr:rowOff>114300</xdr:rowOff>
        </xdr:from>
        <xdr:to>
          <xdr:col>6</xdr:col>
          <xdr:colOff>561975</xdr:colOff>
          <xdr:row>6</xdr:row>
          <xdr:rowOff>0</xdr:rowOff>
        </xdr:to>
        <xdr:sp macro="" textlink="">
          <xdr:nvSpPr>
            <xdr:cNvPr id="4100" name="CommandButton2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8171" cy="6078963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</xdr:row>
          <xdr:rowOff>0</xdr:rowOff>
        </xdr:from>
        <xdr:to>
          <xdr:col>7</xdr:col>
          <xdr:colOff>723900</xdr:colOff>
          <xdr:row>5</xdr:row>
          <xdr:rowOff>9525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28574</xdr:colOff>
          <xdr:row>5</xdr:row>
          <xdr:rowOff>66676</xdr:rowOff>
        </xdr:from>
        <xdr:to>
          <xdr:col>7</xdr:col>
          <xdr:colOff>723899</xdr:colOff>
          <xdr:row>7</xdr:row>
          <xdr:rowOff>57150</xdr:rowOff>
        </xdr:to>
        <xdr:sp macro="" textlink="">
          <xdr:nvSpPr>
            <xdr:cNvPr id="9220" name="CommandButton2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acturacion%20-%20copia%20-%20copi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os"/>
      <sheetName val="Clientes"/>
      <sheetName val="Consulta"/>
      <sheetName val="Albarán"/>
      <sheetName val="Factura"/>
    </sheetNames>
    <sheetDataSet>
      <sheetData sheetId="0"/>
      <sheetData sheetId="1"/>
      <sheetData sheetId="2"/>
      <sheetData sheetId="3">
        <row r="6">
          <cell r="A6">
            <v>105</v>
          </cell>
          <cell r="B6" t="str">
            <v>DVD Rom 12x Encore+Dxr3 Con Creative</v>
          </cell>
          <cell r="C6">
            <v>267.45038645078313</v>
          </cell>
          <cell r="D6">
            <v>1</v>
          </cell>
        </row>
        <row r="7">
          <cell r="A7">
            <v>108</v>
          </cell>
          <cell r="B7" t="str">
            <v>Epson Perfection 610</v>
          </cell>
          <cell r="C7">
            <v>109.56450662916352</v>
          </cell>
          <cell r="D7">
            <v>1</v>
          </cell>
        </row>
        <row r="8">
          <cell r="A8">
            <v>110</v>
          </cell>
          <cell r="B8" t="str">
            <v>Compacq Presario 1400 XI352 Celeron 
600 Mhz</v>
          </cell>
          <cell r="C8">
            <v>2132.9919584580434</v>
          </cell>
          <cell r="D8">
            <v>2</v>
          </cell>
        </row>
        <row r="9">
          <cell r="A9">
            <v>103</v>
          </cell>
          <cell r="B9" t="str">
            <v>Reposamuñecas Boeder</v>
          </cell>
          <cell r="C9">
            <v>3.1192528217518301</v>
          </cell>
          <cell r="D9">
            <v>1</v>
          </cell>
        </row>
        <row r="10">
          <cell r="A10">
            <v>116</v>
          </cell>
          <cell r="B10" t="str">
            <v>Ratón boeder 205</v>
          </cell>
          <cell r="C10">
            <v>9.015181565756734</v>
          </cell>
          <cell r="D10">
            <v>2</v>
          </cell>
        </row>
        <row r="11">
          <cell r="A11">
            <v>101</v>
          </cell>
          <cell r="B11" t="str">
            <v>Packard Bell SPIRIT II 9800</v>
          </cell>
          <cell r="C11">
            <v>2797.6812953012873</v>
          </cell>
          <cell r="D11">
            <v>1</v>
          </cell>
        </row>
        <row r="12">
          <cell r="A12">
            <v>111</v>
          </cell>
          <cell r="B12" t="str">
            <v>iMac DV Special Edition a 500 Mhz.</v>
          </cell>
          <cell r="C12">
            <v>1472.4796557402667</v>
          </cell>
          <cell r="D12">
            <v>1</v>
          </cell>
        </row>
        <row r="13">
          <cell r="A13">
            <v>112</v>
          </cell>
          <cell r="B13" t="str">
            <v>Toshiba Equium 3300 Intel Pentium III</v>
          </cell>
          <cell r="C13">
            <v>1291.5750123207481</v>
          </cell>
          <cell r="D13">
            <v>1</v>
          </cell>
        </row>
        <row r="14">
          <cell r="A14">
            <v>115</v>
          </cell>
          <cell r="B14" t="str">
            <v>Lexmark Z 32 Inyección tinta</v>
          </cell>
          <cell r="C14">
            <v>107.58116668469704</v>
          </cell>
          <cell r="D14">
            <v>1</v>
          </cell>
        </row>
        <row r="15">
          <cell r="A15">
            <v>117</v>
          </cell>
          <cell r="B15" t="str">
            <v>Cable Impresora bidireccional</v>
          </cell>
          <cell r="C15">
            <v>7.2121452526053877</v>
          </cell>
          <cell r="D15">
            <v>3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19"/>
  <sheetViews>
    <sheetView workbookViewId="0">
      <selection activeCell="B18" sqref="B18"/>
    </sheetView>
  </sheetViews>
  <sheetFormatPr baseColWidth="10" defaultRowHeight="12.75" x14ac:dyDescent="0.2"/>
  <cols>
    <col min="1" max="1" width="16" customWidth="1"/>
    <col min="2" max="2" width="33.5703125" customWidth="1"/>
    <col min="3" max="3" width="12.85546875" bestFit="1" customWidth="1"/>
  </cols>
  <sheetData>
    <row r="1" spans="1:4" ht="14.25" thickTop="1" thickBot="1" x14ac:dyDescent="0.25">
      <c r="A1" s="8" t="s">
        <v>0</v>
      </c>
      <c r="B1" s="8" t="s">
        <v>1</v>
      </c>
      <c r="C1" s="9" t="s">
        <v>2</v>
      </c>
    </row>
    <row r="2" spans="1:4" ht="13.5" thickTop="1" x14ac:dyDescent="0.2">
      <c r="A2" s="5">
        <v>101</v>
      </c>
      <c r="B2" s="5" t="s">
        <v>3</v>
      </c>
      <c r="C2" s="3">
        <v>2797.6812953012873</v>
      </c>
      <c r="D2" s="1"/>
    </row>
    <row r="3" spans="1:4" x14ac:dyDescent="0.2">
      <c r="A3" s="5">
        <v>102</v>
      </c>
      <c r="B3" s="5" t="s">
        <v>4</v>
      </c>
      <c r="C3" s="3">
        <v>84.081593403291151</v>
      </c>
      <c r="D3" s="1"/>
    </row>
    <row r="4" spans="1:4" x14ac:dyDescent="0.2">
      <c r="A4" s="5">
        <v>103</v>
      </c>
      <c r="B4" s="5" t="s">
        <v>5</v>
      </c>
      <c r="C4" s="3">
        <v>3.1192528217518301</v>
      </c>
      <c r="D4" s="1"/>
    </row>
    <row r="5" spans="1:4" x14ac:dyDescent="0.2">
      <c r="A5" s="5">
        <v>104</v>
      </c>
      <c r="B5" s="5" t="s">
        <v>6</v>
      </c>
      <c r="C5" s="3">
        <v>29.449593114805332</v>
      </c>
      <c r="D5" s="1"/>
    </row>
    <row r="6" spans="1:4" x14ac:dyDescent="0.2">
      <c r="A6" s="5">
        <v>105</v>
      </c>
      <c r="B6" s="5" t="s">
        <v>7</v>
      </c>
      <c r="C6" s="3">
        <v>267.45038645078313</v>
      </c>
      <c r="D6" s="1"/>
    </row>
    <row r="7" spans="1:4" x14ac:dyDescent="0.2">
      <c r="A7" s="5">
        <v>106</v>
      </c>
      <c r="B7" s="5" t="s">
        <v>8</v>
      </c>
      <c r="C7" s="3">
        <v>306.51617323572896</v>
      </c>
      <c r="D7" s="1"/>
    </row>
    <row r="8" spans="1:4" x14ac:dyDescent="0.2">
      <c r="A8" s="5">
        <v>107</v>
      </c>
      <c r="B8" s="5" t="s">
        <v>9</v>
      </c>
      <c r="C8" s="3">
        <v>83.540682509345743</v>
      </c>
      <c r="D8" s="1"/>
    </row>
    <row r="9" spans="1:4" x14ac:dyDescent="0.2">
      <c r="A9" s="5">
        <v>108</v>
      </c>
      <c r="B9" s="5" t="s">
        <v>10</v>
      </c>
      <c r="C9" s="3">
        <v>109.56450662916352</v>
      </c>
      <c r="D9" s="1"/>
    </row>
    <row r="10" spans="1:4" ht="25.5" x14ac:dyDescent="0.2">
      <c r="A10" s="5">
        <v>109</v>
      </c>
      <c r="B10" s="7" t="s">
        <v>11</v>
      </c>
      <c r="C10" s="3">
        <v>333.56171793299916</v>
      </c>
      <c r="D10" s="1"/>
    </row>
    <row r="11" spans="1:4" ht="25.5" x14ac:dyDescent="0.2">
      <c r="A11" s="5">
        <v>110</v>
      </c>
      <c r="B11" s="7" t="s">
        <v>12</v>
      </c>
      <c r="C11" s="3">
        <v>2132.9919584580434</v>
      </c>
      <c r="D11" s="1"/>
    </row>
    <row r="12" spans="1:4" x14ac:dyDescent="0.2">
      <c r="A12" s="5">
        <v>111</v>
      </c>
      <c r="B12" s="5" t="s">
        <v>13</v>
      </c>
      <c r="C12" s="3">
        <v>1472.4796557402667</v>
      </c>
      <c r="D12" s="1"/>
    </row>
    <row r="13" spans="1:4" x14ac:dyDescent="0.2">
      <c r="A13" s="5">
        <v>112</v>
      </c>
      <c r="B13" s="5" t="s">
        <v>14</v>
      </c>
      <c r="C13" s="3">
        <v>1291.5750123207481</v>
      </c>
      <c r="D13" s="1"/>
    </row>
    <row r="14" spans="1:4" x14ac:dyDescent="0.2">
      <c r="A14" s="5">
        <v>113</v>
      </c>
      <c r="B14" s="5" t="s">
        <v>15</v>
      </c>
      <c r="C14" s="3">
        <v>5973.4593054704119</v>
      </c>
      <c r="D14" s="1"/>
    </row>
    <row r="15" spans="1:4" x14ac:dyDescent="0.2">
      <c r="A15" s="5">
        <v>114</v>
      </c>
      <c r="B15" s="5" t="s">
        <v>16</v>
      </c>
      <c r="C15" s="3">
        <v>179.7026192107509</v>
      </c>
      <c r="D15" s="1"/>
    </row>
    <row r="16" spans="1:4" x14ac:dyDescent="0.2">
      <c r="A16" s="5">
        <v>115</v>
      </c>
      <c r="B16" s="5" t="s">
        <v>17</v>
      </c>
      <c r="C16" s="3">
        <v>107.58116668469704</v>
      </c>
      <c r="D16" s="1"/>
    </row>
    <row r="17" spans="1:4" x14ac:dyDescent="0.2">
      <c r="A17" s="5">
        <v>116</v>
      </c>
      <c r="B17" s="5" t="s">
        <v>18</v>
      </c>
      <c r="C17" s="3">
        <v>9.015181565756734</v>
      </c>
      <c r="D17" s="1"/>
    </row>
    <row r="18" spans="1:4" ht="13.5" thickBot="1" x14ac:dyDescent="0.25">
      <c r="A18" s="6">
        <v>117</v>
      </c>
      <c r="B18" s="6" t="s">
        <v>19</v>
      </c>
      <c r="C18" s="4">
        <v>7.2121452526053877</v>
      </c>
      <c r="D18" s="1"/>
    </row>
    <row r="19" spans="1:4" ht="13.5" thickTop="1" x14ac:dyDescent="0.2"/>
  </sheetData>
  <phoneticPr fontId="3" type="noConversion"/>
  <pageMargins left="0.75" right="0.75" top="1" bottom="1" header="0" footer="0"/>
  <pageSetup paperSize="9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8"/>
  <sheetViews>
    <sheetView workbookViewId="0">
      <selection activeCell="C10" sqref="C10"/>
    </sheetView>
  </sheetViews>
  <sheetFormatPr baseColWidth="10" defaultRowHeight="12.75" x14ac:dyDescent="0.2"/>
  <cols>
    <col min="1" max="1" width="16.7109375" customWidth="1"/>
    <col min="2" max="2" width="13.28515625" customWidth="1"/>
    <col min="3" max="3" width="18.28515625" customWidth="1"/>
    <col min="4" max="4" width="14.85546875" customWidth="1"/>
    <col min="5" max="5" width="28.42578125" customWidth="1"/>
    <col min="6" max="6" width="14" customWidth="1"/>
  </cols>
  <sheetData>
    <row r="1" spans="1:7" ht="14.25" thickTop="1" thickBot="1" x14ac:dyDescent="0.25">
      <c r="A1" s="8" t="s">
        <v>37</v>
      </c>
      <c r="B1" s="8" t="s">
        <v>20</v>
      </c>
      <c r="C1" s="9" t="s">
        <v>21</v>
      </c>
      <c r="D1" s="8" t="s">
        <v>24</v>
      </c>
      <c r="E1" s="8" t="s">
        <v>22</v>
      </c>
      <c r="F1" s="9" t="s">
        <v>23</v>
      </c>
      <c r="G1" s="2"/>
    </row>
    <row r="2" spans="1:7" ht="13.5" thickTop="1" x14ac:dyDescent="0.2">
      <c r="A2" s="5" t="s">
        <v>38</v>
      </c>
      <c r="B2" s="5" t="s">
        <v>25</v>
      </c>
      <c r="C2" s="3" t="s">
        <v>26</v>
      </c>
      <c r="D2" s="5" t="s">
        <v>30</v>
      </c>
      <c r="E2" s="5" t="s">
        <v>55</v>
      </c>
      <c r="F2" s="3" t="s">
        <v>27</v>
      </c>
    </row>
    <row r="3" spans="1:7" x14ac:dyDescent="0.2">
      <c r="A3" s="5" t="s">
        <v>39</v>
      </c>
      <c r="B3" s="5" t="s">
        <v>28</v>
      </c>
      <c r="C3" s="3" t="s">
        <v>29</v>
      </c>
      <c r="D3" s="5" t="s">
        <v>31</v>
      </c>
      <c r="E3" s="5" t="s">
        <v>54</v>
      </c>
      <c r="F3" s="3" t="s">
        <v>32</v>
      </c>
    </row>
    <row r="4" spans="1:7" x14ac:dyDescent="0.2">
      <c r="A4" s="5" t="s">
        <v>40</v>
      </c>
      <c r="B4" s="5" t="s">
        <v>33</v>
      </c>
      <c r="C4" s="3" t="s">
        <v>34</v>
      </c>
      <c r="D4" s="5" t="s">
        <v>35</v>
      </c>
      <c r="E4" s="5" t="s">
        <v>53</v>
      </c>
      <c r="F4" s="3" t="s">
        <v>36</v>
      </c>
    </row>
    <row r="5" spans="1:7" x14ac:dyDescent="0.2">
      <c r="A5" s="5" t="s">
        <v>41</v>
      </c>
      <c r="B5" s="5" t="s">
        <v>44</v>
      </c>
      <c r="C5" s="3" t="s">
        <v>45</v>
      </c>
      <c r="D5" s="5" t="s">
        <v>46</v>
      </c>
      <c r="E5" s="5" t="s">
        <v>52</v>
      </c>
      <c r="F5" s="3" t="s">
        <v>47</v>
      </c>
    </row>
    <row r="6" spans="1:7" x14ac:dyDescent="0.2">
      <c r="A6" s="5" t="s">
        <v>42</v>
      </c>
      <c r="B6" s="5" t="s">
        <v>48</v>
      </c>
      <c r="C6" s="3" t="s">
        <v>49</v>
      </c>
      <c r="D6" s="5" t="s">
        <v>50</v>
      </c>
      <c r="E6" s="5" t="s">
        <v>51</v>
      </c>
      <c r="F6" s="3" t="s">
        <v>60</v>
      </c>
    </row>
    <row r="7" spans="1:7" ht="13.5" thickBot="1" x14ac:dyDescent="0.25">
      <c r="A7" s="6" t="s">
        <v>43</v>
      </c>
      <c r="B7" s="6" t="s">
        <v>56</v>
      </c>
      <c r="C7" s="4" t="s">
        <v>57</v>
      </c>
      <c r="D7" s="6" t="s">
        <v>58</v>
      </c>
      <c r="E7" s="6" t="s">
        <v>59</v>
      </c>
      <c r="F7" s="4" t="s">
        <v>36</v>
      </c>
    </row>
    <row r="8" spans="1:7" ht="13.5" thickTop="1" x14ac:dyDescent="0.2"/>
  </sheetData>
  <phoneticPr fontId="3" type="noConversion"/>
  <pageMargins left="0.75" right="0.75" top="1" bottom="1" header="0" footer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E17"/>
  <sheetViews>
    <sheetView workbookViewId="0">
      <selection activeCell="J29" sqref="J29"/>
    </sheetView>
  </sheetViews>
  <sheetFormatPr baseColWidth="10" defaultRowHeight="12.75" x14ac:dyDescent="0.2"/>
  <cols>
    <col min="3" max="3" width="27" customWidth="1"/>
  </cols>
  <sheetData>
    <row r="1" spans="1:5" ht="14.25" thickTop="1" thickBot="1" x14ac:dyDescent="0.25">
      <c r="A1" s="33" t="s">
        <v>61</v>
      </c>
      <c r="B1" s="34"/>
      <c r="C1" s="34"/>
      <c r="D1" s="34"/>
      <c r="E1" s="35"/>
    </row>
    <row r="2" spans="1:5" ht="14.25" thickTop="1" thickBot="1" x14ac:dyDescent="0.25"/>
    <row r="3" spans="1:5" ht="14.25" thickTop="1" thickBot="1" x14ac:dyDescent="0.25">
      <c r="A3" s="36" t="s">
        <v>62</v>
      </c>
      <c r="B3" s="36"/>
      <c r="C3" s="39">
        <v>101</v>
      </c>
      <c r="D3" s="40"/>
      <c r="E3" s="41"/>
    </row>
    <row r="4" spans="1:5" ht="13.5" thickTop="1" x14ac:dyDescent="0.2">
      <c r="A4" s="37" t="s">
        <v>63</v>
      </c>
      <c r="B4" s="37"/>
      <c r="C4" s="42">
        <f>IFERROR(VLOOKUP(C3,Productos!A2:C18,1,1),"")</f>
        <v>101</v>
      </c>
      <c r="D4" s="42"/>
      <c r="E4" s="42"/>
    </row>
    <row r="5" spans="1:5" x14ac:dyDescent="0.2">
      <c r="A5" s="37" t="s">
        <v>1</v>
      </c>
      <c r="B5" s="37"/>
      <c r="C5" s="42" t="str">
        <f>IFERROR(VLOOKUP(C3,Productos!A2:C18,2,1),"")</f>
        <v>Packard Bell SPIRIT II 9800</v>
      </c>
      <c r="D5" s="42"/>
      <c r="E5" s="42"/>
    </row>
    <row r="6" spans="1:5" ht="13.5" thickBot="1" x14ac:dyDescent="0.25">
      <c r="A6" s="38" t="s">
        <v>2</v>
      </c>
      <c r="B6" s="38"/>
      <c r="C6" s="43">
        <f>IFERROR(VLOOKUP(C3,Productos!A2:C18,3,1),"")</f>
        <v>2797.6812953012873</v>
      </c>
      <c r="D6" s="43"/>
      <c r="E6" s="43"/>
    </row>
    <row r="7" spans="1:5" ht="14.25" thickTop="1" thickBot="1" x14ac:dyDescent="0.25"/>
    <row r="8" spans="1:5" ht="14.25" thickTop="1" thickBot="1" x14ac:dyDescent="0.25">
      <c r="A8" s="33" t="s">
        <v>64</v>
      </c>
      <c r="B8" s="34"/>
      <c r="C8" s="34"/>
      <c r="D8" s="34"/>
      <c r="E8" s="35"/>
    </row>
    <row r="9" spans="1:5" ht="14.25" thickTop="1" thickBot="1" x14ac:dyDescent="0.25"/>
    <row r="10" spans="1:5" ht="14.25" thickTop="1" thickBot="1" x14ac:dyDescent="0.25">
      <c r="A10" s="36" t="s">
        <v>65</v>
      </c>
      <c r="B10" s="36"/>
      <c r="C10" s="44" t="s">
        <v>40</v>
      </c>
      <c r="D10" s="44"/>
      <c r="E10" s="44"/>
    </row>
    <row r="11" spans="1:5" ht="13.5" thickTop="1" x14ac:dyDescent="0.2">
      <c r="A11" s="47" t="s">
        <v>66</v>
      </c>
      <c r="B11" s="47"/>
      <c r="C11" s="45" t="str">
        <f>IFERROR(VLOOKUP(C10,Clientes!A2:F7,1,1),"")</f>
        <v>C03</v>
      </c>
      <c r="D11" s="45"/>
      <c r="E11" s="45"/>
    </row>
    <row r="12" spans="1:5" x14ac:dyDescent="0.2">
      <c r="A12" s="37" t="s">
        <v>20</v>
      </c>
      <c r="B12" s="37"/>
      <c r="C12" s="42" t="str">
        <f>IFERROR(VLOOKUP(C10,Clientes!A2:F7,2,1),"")</f>
        <v>Juan</v>
      </c>
      <c r="D12" s="42"/>
      <c r="E12" s="42"/>
    </row>
    <row r="13" spans="1:5" x14ac:dyDescent="0.2">
      <c r="A13" s="37" t="s">
        <v>21</v>
      </c>
      <c r="B13" s="37"/>
      <c r="C13" s="42" t="str">
        <f>IFERROR(VLOOKUP(C10,Clientes!A2:F7,3,1),"")</f>
        <v>Cuesta Perez</v>
      </c>
      <c r="D13" s="42"/>
      <c r="E13" s="42"/>
    </row>
    <row r="14" spans="1:5" x14ac:dyDescent="0.2">
      <c r="A14" s="37" t="s">
        <v>24</v>
      </c>
      <c r="B14" s="37"/>
      <c r="C14" s="42" t="str">
        <f>IFERROR(VLOOKUP(C10,Clientes!A2:F7,4,1),"")</f>
        <v>14141414-T</v>
      </c>
      <c r="D14" s="42"/>
      <c r="E14" s="42"/>
    </row>
    <row r="15" spans="1:5" x14ac:dyDescent="0.2">
      <c r="A15" s="37" t="s">
        <v>22</v>
      </c>
      <c r="B15" s="37"/>
      <c r="C15" s="42" t="str">
        <f>IFERROR(VLOOKUP(C10,Clientes!A2:F7,5,1),"")</f>
        <v>Calle Desengaño, 76</v>
      </c>
      <c r="D15" s="42"/>
      <c r="E15" s="42"/>
    </row>
    <row r="16" spans="1:5" ht="13.5" thickBot="1" x14ac:dyDescent="0.25">
      <c r="A16" s="38" t="s">
        <v>23</v>
      </c>
      <c r="B16" s="38"/>
      <c r="C16" s="46" t="str">
        <f>IFERROR(VLOOKUP(C10,Clientes!A2:F7,6,1),"")</f>
        <v>Madrid</v>
      </c>
      <c r="D16" s="46"/>
      <c r="E16" s="46"/>
    </row>
    <row r="17" ht="13.5" thickTop="1" x14ac:dyDescent="0.2"/>
  </sheetData>
  <mergeCells count="24">
    <mergeCell ref="A16:B16"/>
    <mergeCell ref="C10:E10"/>
    <mergeCell ref="C11:E11"/>
    <mergeCell ref="C12:E12"/>
    <mergeCell ref="C13:E13"/>
    <mergeCell ref="C14:E14"/>
    <mergeCell ref="C15:E15"/>
    <mergeCell ref="C16:E16"/>
    <mergeCell ref="A10:B10"/>
    <mergeCell ref="A11:B11"/>
    <mergeCell ref="A12:B12"/>
    <mergeCell ref="A13:B13"/>
    <mergeCell ref="A14:B14"/>
    <mergeCell ref="A15:B15"/>
    <mergeCell ref="A1:E1"/>
    <mergeCell ref="A8:E8"/>
    <mergeCell ref="A3:B3"/>
    <mergeCell ref="A4:B4"/>
    <mergeCell ref="A5:B5"/>
    <mergeCell ref="A6:B6"/>
    <mergeCell ref="C3:E3"/>
    <mergeCell ref="C4:E4"/>
    <mergeCell ref="C5:E5"/>
    <mergeCell ref="C6:E6"/>
  </mergeCell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5</xdr:col>
                <xdr:colOff>742950</xdr:colOff>
                <xdr:row>1</xdr:row>
                <xdr:rowOff>0</xdr:rowOff>
              </from>
              <to>
                <xdr:col>8</xdr:col>
                <xdr:colOff>9525</xdr:colOff>
                <xdr:row>3</xdr:row>
                <xdr:rowOff>85725</xdr:rowOff>
              </to>
            </anchor>
          </controlPr>
        </control>
      </mc:Choice>
      <mc:Fallback>
        <control shapeId="1026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Productos!$A$2:$A$18</xm:f>
          </x14:formula1>
          <xm:sqref>C3:E3</xm:sqref>
        </x14:dataValidation>
        <x14:dataValidation type="list" allowBlank="1" showInputMessage="1" showErrorMessage="1">
          <x14:formula1>
            <xm:f>Clientes!$A$2:$A$7</xm:f>
          </x14:formula1>
          <xm:sqref>C10:E10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D16"/>
  <sheetViews>
    <sheetView workbookViewId="0">
      <selection activeCell="B1" sqref="B1:D1"/>
    </sheetView>
  </sheetViews>
  <sheetFormatPr baseColWidth="10" defaultRowHeight="12.75" x14ac:dyDescent="0.2"/>
  <cols>
    <col min="1" max="1" width="14.5703125" customWidth="1"/>
    <col min="2" max="2" width="33" customWidth="1"/>
    <col min="3" max="3" width="22.7109375" customWidth="1"/>
    <col min="4" max="4" width="23" customWidth="1"/>
  </cols>
  <sheetData>
    <row r="1" spans="1:4" x14ac:dyDescent="0.2">
      <c r="A1" s="10" t="s">
        <v>67</v>
      </c>
      <c r="B1" s="49" t="s">
        <v>41</v>
      </c>
      <c r="C1" s="49"/>
      <c r="D1" s="49"/>
    </row>
    <row r="2" spans="1:4" ht="13.5" thickBot="1" x14ac:dyDescent="0.25">
      <c r="A2" s="11" t="s">
        <v>68</v>
      </c>
      <c r="B2" s="50">
        <f ca="1">TODAY()</f>
        <v>43788</v>
      </c>
      <c r="C2" s="50"/>
      <c r="D2" s="50"/>
    </row>
    <row r="3" spans="1:4" ht="13.5" thickBot="1" x14ac:dyDescent="0.25"/>
    <row r="4" spans="1:4" ht="13.5" thickBot="1" x14ac:dyDescent="0.25">
      <c r="A4" s="48" t="s">
        <v>69</v>
      </c>
      <c r="B4" s="48"/>
      <c r="C4" s="48"/>
      <c r="D4" s="48"/>
    </row>
    <row r="5" spans="1:4" ht="13.5" thickBot="1" x14ac:dyDescent="0.25">
      <c r="A5" s="12" t="s">
        <v>70</v>
      </c>
      <c r="B5" s="12" t="s">
        <v>71</v>
      </c>
      <c r="C5" s="12" t="s">
        <v>2</v>
      </c>
      <c r="D5" s="12" t="s">
        <v>72</v>
      </c>
    </row>
    <row r="6" spans="1:4" ht="13.5" thickBot="1" x14ac:dyDescent="0.25">
      <c r="A6" s="17"/>
      <c r="B6" s="17"/>
      <c r="C6" s="17"/>
      <c r="D6" s="17"/>
    </row>
    <row r="7" spans="1:4" x14ac:dyDescent="0.2">
      <c r="A7" s="13">
        <v>105</v>
      </c>
      <c r="B7" s="13" t="str">
        <f>IFERROR(VLOOKUP(A7,Productos!$A$2:$C$18,2,0),"")</f>
        <v>DVD Rom 12x Encore+Dxr3 Con Creative</v>
      </c>
      <c r="C7" s="15">
        <f>IFERROR(VLOOKUP(A7,Productos!$A$2:$C$18,3,0),"")</f>
        <v>267.45038645078313</v>
      </c>
      <c r="D7" s="13">
        <v>1</v>
      </c>
    </row>
    <row r="8" spans="1:4" x14ac:dyDescent="0.2">
      <c r="A8" s="14">
        <v>108</v>
      </c>
      <c r="B8" s="14" t="str">
        <f>IFERROR(VLOOKUP(A8,Productos!$A$2:$C$18,2,0),"")</f>
        <v>Epson Perfection 610</v>
      </c>
      <c r="C8" s="16">
        <f>IFERROR(VLOOKUP(A8,Productos!$A$2:$C$18,3,0),"")</f>
        <v>109.56450662916352</v>
      </c>
      <c r="D8" s="14">
        <v>1</v>
      </c>
    </row>
    <row r="9" spans="1:4" x14ac:dyDescent="0.2">
      <c r="A9" s="14">
        <v>110</v>
      </c>
      <c r="B9" s="14" t="str">
        <f>IFERROR(VLOOKUP(A9,Productos!$A$2:$C$18,2,0),"")</f>
        <v>Compacq Presario 1400 XI352 Celeron 
600 Mhz</v>
      </c>
      <c r="C9" s="16">
        <f>IFERROR(VLOOKUP(A9,Productos!$A$2:$C$18,3,0),"")</f>
        <v>2132.9919584580434</v>
      </c>
      <c r="D9" s="14">
        <v>2</v>
      </c>
    </row>
    <row r="10" spans="1:4" x14ac:dyDescent="0.2">
      <c r="A10" s="14">
        <v>103</v>
      </c>
      <c r="B10" s="14" t="str">
        <f>IFERROR(VLOOKUP(A10,Productos!$A$2:$C$18,2,0),"")</f>
        <v>Reposamuñecas Boeder</v>
      </c>
      <c r="C10" s="16">
        <f>IFERROR(VLOOKUP(A10,Productos!$A$2:$C$18,3,0),"")</f>
        <v>3.1192528217518301</v>
      </c>
      <c r="D10" s="14">
        <v>1</v>
      </c>
    </row>
    <row r="11" spans="1:4" x14ac:dyDescent="0.2">
      <c r="A11" s="14">
        <v>116</v>
      </c>
      <c r="B11" s="14" t="str">
        <f>IFERROR(VLOOKUP(A11,Productos!$A$2:$C$18,2,0),"")</f>
        <v>Ratón boeder 205</v>
      </c>
      <c r="C11" s="16">
        <f>IFERROR(VLOOKUP(A11,Productos!$A$2:$C$18,3,0),"")</f>
        <v>9.015181565756734</v>
      </c>
      <c r="D11" s="14">
        <v>2</v>
      </c>
    </row>
    <row r="12" spans="1:4" x14ac:dyDescent="0.2">
      <c r="A12" s="14">
        <v>101</v>
      </c>
      <c r="B12" s="14" t="str">
        <f>IFERROR(VLOOKUP(A12,Productos!$A$2:$C$18,2,0),"")</f>
        <v>Packard Bell SPIRIT II 9800</v>
      </c>
      <c r="C12" s="16">
        <f>IFERROR(VLOOKUP(A12,Productos!$A$2:$C$18,3,0),"")</f>
        <v>2797.6812953012873</v>
      </c>
      <c r="D12" s="14">
        <v>1</v>
      </c>
    </row>
    <row r="13" spans="1:4" x14ac:dyDescent="0.2">
      <c r="A13" s="14">
        <v>111</v>
      </c>
      <c r="B13" s="14" t="str">
        <f>IFERROR(VLOOKUP(A13,Productos!$A$2:$C$18,2,0),"")</f>
        <v>iMac DV Special Edition a 500 Mhz.</v>
      </c>
      <c r="C13" s="16">
        <f>IFERROR(VLOOKUP(A13,Productos!$A$2:$C$18,3,0),"")</f>
        <v>1472.4796557402667</v>
      </c>
      <c r="D13" s="14">
        <v>1</v>
      </c>
    </row>
    <row r="14" spans="1:4" x14ac:dyDescent="0.2">
      <c r="A14" s="14">
        <v>112</v>
      </c>
      <c r="B14" s="14" t="str">
        <f>IFERROR(VLOOKUP(A14,Productos!$A$2:$C$18,2,0),"")</f>
        <v>Toshiba Equium 3300 Intel Pentium III</v>
      </c>
      <c r="C14" s="16">
        <f>IFERROR(VLOOKUP(A14,Productos!$A$2:$C$18,3,0),"")</f>
        <v>1291.5750123207481</v>
      </c>
      <c r="D14" s="14">
        <v>1</v>
      </c>
    </row>
    <row r="15" spans="1:4" x14ac:dyDescent="0.2">
      <c r="A15" s="14">
        <v>115</v>
      </c>
      <c r="B15" s="14" t="str">
        <f>IFERROR(VLOOKUP(A15,Productos!$A$2:$C$18,2,0),"")</f>
        <v>Lexmark Z 32 Inyección tinta</v>
      </c>
      <c r="C15" s="16">
        <f>IFERROR(VLOOKUP(A15,Productos!$A$2:$C$18,3,0),"")</f>
        <v>107.58116668469704</v>
      </c>
      <c r="D15" s="14">
        <v>1</v>
      </c>
    </row>
    <row r="16" spans="1:4" x14ac:dyDescent="0.2">
      <c r="A16" s="14">
        <v>117</v>
      </c>
      <c r="B16" s="14" t="str">
        <f>IFERROR(VLOOKUP(A16,Productos!$A$2:$C$18,2,0),"")</f>
        <v>Cable Impresora bidireccional</v>
      </c>
      <c r="C16" s="16">
        <f>IFERROR(VLOOKUP(A16,Productos!$A$2:$C$18,3,0),"")</f>
        <v>7.2121452526053877</v>
      </c>
      <c r="D16" s="14">
        <v>3</v>
      </c>
    </row>
  </sheetData>
  <mergeCells count="3">
    <mergeCell ref="A4:D4"/>
    <mergeCell ref="B1:D1"/>
    <mergeCell ref="B2:D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CommandButton1">
          <controlPr defaultSize="0" autoLine="0" r:id="rId4">
            <anchor moveWithCells="1">
              <from>
                <xdr:col>4</xdr:col>
                <xdr:colOff>476250</xdr:colOff>
                <xdr:row>0</xdr:row>
                <xdr:rowOff>142875</xdr:rowOff>
              </from>
              <to>
                <xdr:col>6</xdr:col>
                <xdr:colOff>561975</xdr:colOff>
                <xdr:row>3</xdr:row>
                <xdr:rowOff>57150</xdr:rowOff>
              </to>
            </anchor>
          </controlPr>
        </control>
      </mc:Choice>
      <mc:Fallback>
        <control shapeId="4098" r:id="rId3" name="CommandButton1"/>
      </mc:Fallback>
    </mc:AlternateContent>
    <mc:AlternateContent xmlns:mc="http://schemas.openxmlformats.org/markup-compatibility/2006">
      <mc:Choice Requires="x14">
        <control shapeId="4100" r:id="rId5" name="CommandButton2">
          <controlPr defaultSize="0" autoLine="0" r:id="rId6">
            <anchor moveWithCells="1">
              <from>
                <xdr:col>4</xdr:col>
                <xdr:colOff>504825</xdr:colOff>
                <xdr:row>3</xdr:row>
                <xdr:rowOff>114300</xdr:rowOff>
              </from>
              <to>
                <xdr:col>6</xdr:col>
                <xdr:colOff>561975</xdr:colOff>
                <xdr:row>6</xdr:row>
                <xdr:rowOff>0</xdr:rowOff>
              </to>
            </anchor>
          </controlPr>
        </control>
      </mc:Choice>
      <mc:Fallback>
        <control shapeId="4100" r:id="rId5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Clientes!$A$2:$A$7</xm:f>
          </x14:formula1>
          <xm:sqref>B1:D1</xm:sqref>
        </x14:dataValidation>
        <x14:dataValidation type="list" allowBlank="1" showInputMessage="1" showErrorMessage="1">
          <x14:formula1>
            <xm:f>Productos!$A$2:$A$18</xm:f>
          </x14:formula1>
          <xm:sqref>A7:A16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H30"/>
  <sheetViews>
    <sheetView tabSelected="1" workbookViewId="0">
      <selection activeCell="E12" activeCellId="1" sqref="B12:B21 E12:E21"/>
    </sheetView>
  </sheetViews>
  <sheetFormatPr baseColWidth="10" defaultRowHeight="12.75" x14ac:dyDescent="0.2"/>
  <cols>
    <col min="1" max="1" width="16" style="18" customWidth="1"/>
    <col min="2" max="2" width="42.7109375" style="18" bestFit="1" customWidth="1"/>
    <col min="3" max="3" width="25.42578125" style="18" customWidth="1"/>
    <col min="4" max="4" width="16.7109375" style="18" customWidth="1"/>
    <col min="5" max="5" width="12.28515625" style="18" bestFit="1" customWidth="1"/>
    <col min="6" max="16384" width="11.42578125" style="18"/>
  </cols>
  <sheetData>
    <row r="1" spans="1:5" x14ac:dyDescent="0.2">
      <c r="A1" s="51" t="s">
        <v>73</v>
      </c>
      <c r="B1" s="52"/>
      <c r="C1" s="52"/>
      <c r="D1" s="52"/>
      <c r="E1" s="53"/>
    </row>
    <row r="2" spans="1:5" x14ac:dyDescent="0.2">
      <c r="A2" s="54" t="s">
        <v>74</v>
      </c>
      <c r="B2" s="55"/>
      <c r="C2" s="55"/>
      <c r="D2" s="55"/>
      <c r="E2" s="56"/>
    </row>
    <row r="3" spans="1:5" ht="13.5" thickBot="1" x14ac:dyDescent="0.25">
      <c r="A3" s="57" t="s">
        <v>75</v>
      </c>
      <c r="B3" s="58"/>
      <c r="C3" s="58"/>
      <c r="D3" s="58"/>
      <c r="E3" s="59"/>
    </row>
    <row r="4" spans="1:5" ht="13.5" thickBot="1" x14ac:dyDescent="0.25">
      <c r="A4" s="19"/>
    </row>
    <row r="5" spans="1:5" ht="13.5" thickBot="1" x14ac:dyDescent="0.25">
      <c r="A5" s="30" t="s">
        <v>78</v>
      </c>
      <c r="B5" s="49" t="s">
        <v>41</v>
      </c>
      <c r="C5" s="49"/>
      <c r="D5" s="49"/>
    </row>
    <row r="6" spans="1:5" ht="13.5" thickBot="1" x14ac:dyDescent="0.25">
      <c r="A6" s="31" t="s">
        <v>80</v>
      </c>
      <c r="B6" s="65" t="str">
        <f>IFERROR(CONCATENATE(VLOOKUP(B5,Clientes!A2:F7,2,1)," ",VLOOKUP(B5,Clientes!A2:F7,3,1)),"")</f>
        <v>Sidgur Rushfeld García</v>
      </c>
      <c r="C6" s="66"/>
      <c r="D6" s="67"/>
    </row>
    <row r="7" spans="1:5" ht="13.5" thickBot="1" x14ac:dyDescent="0.25">
      <c r="A7" s="31" t="s">
        <v>22</v>
      </c>
      <c r="B7" s="65" t="str">
        <f>IFERROR(VLOOKUP(B5,Clientes!A2:F7,5,1),"")</f>
        <v>Calle Noruega, 2</v>
      </c>
      <c r="C7" s="66"/>
      <c r="D7" s="67"/>
    </row>
    <row r="8" spans="1:5" ht="13.5" thickBot="1" x14ac:dyDescent="0.25">
      <c r="A8" s="31" t="s">
        <v>23</v>
      </c>
      <c r="B8" s="65" t="str">
        <f>IFERROR(VLOOKUP(B5,Clientes!A2:F7,6,1),"")</f>
        <v>Santander</v>
      </c>
      <c r="C8" s="66"/>
      <c r="D8" s="67"/>
    </row>
    <row r="9" spans="1:5" ht="13.5" thickBot="1" x14ac:dyDescent="0.25">
      <c r="A9" s="32" t="s">
        <v>79</v>
      </c>
      <c r="B9" s="65" t="str">
        <f>IFERROR(VLOOKUP(B5,Clientes!A2:F7,4,1),"")</f>
        <v>20202122-Q</v>
      </c>
      <c r="C9" s="66"/>
      <c r="D9" s="67"/>
    </row>
    <row r="10" spans="1:5" x14ac:dyDescent="0.2">
      <c r="B10" s="19"/>
    </row>
    <row r="11" spans="1:5" ht="13.5" thickBot="1" x14ac:dyDescent="0.25">
      <c r="A11" s="20" t="s">
        <v>70</v>
      </c>
      <c r="B11" s="20" t="s">
        <v>76</v>
      </c>
      <c r="C11" s="20" t="s">
        <v>2</v>
      </c>
      <c r="D11" s="20" t="s">
        <v>72</v>
      </c>
      <c r="E11" s="20" t="s">
        <v>77</v>
      </c>
    </row>
    <row r="12" spans="1:5" x14ac:dyDescent="0.2">
      <c r="A12" s="13">
        <v>105</v>
      </c>
      <c r="B12" s="28" t="str">
        <f>IFERROR(VLOOKUP(A12,Albarán!$A$7:$D$16,2,0)," ")</f>
        <v>DVD Rom 12x Encore+Dxr3 Con Creative</v>
      </c>
      <c r="C12" s="29">
        <f>IFERROR(VLOOKUP(A12,Albarán!$A$7:$D$16,3,0)," ")</f>
        <v>267.45038645078313</v>
      </c>
      <c r="D12" s="13">
        <v>1</v>
      </c>
      <c r="E12" s="29">
        <f>IFERROR(C12*D12,"")</f>
        <v>267.45038645078313</v>
      </c>
    </row>
    <row r="13" spans="1:5" x14ac:dyDescent="0.2">
      <c r="A13" s="14">
        <v>108</v>
      </c>
      <c r="B13" s="28" t="str">
        <f>IFERROR(VLOOKUP(A13,Albarán!$A$7:$D$16,2,0)," ")</f>
        <v>Epson Perfection 610</v>
      </c>
      <c r="C13" s="29">
        <f>IFERROR(VLOOKUP(A13,Albarán!$A$7:$D$16,3,0)," ")</f>
        <v>109.56450662916352</v>
      </c>
      <c r="D13" s="14">
        <v>1</v>
      </c>
      <c r="E13" s="29">
        <f t="shared" ref="E13:E21" si="0">IFERROR(C13*D13,"")</f>
        <v>109.56450662916352</v>
      </c>
    </row>
    <row r="14" spans="1:5" x14ac:dyDescent="0.2">
      <c r="A14" s="14">
        <v>110</v>
      </c>
      <c r="B14" s="28" t="str">
        <f>IFERROR(VLOOKUP(A14,Albarán!$A$7:$D$16,2,0)," ")</f>
        <v>Compacq Presario 1400 XI352 Celeron 
600 Mhz</v>
      </c>
      <c r="C14" s="29">
        <f>IFERROR(VLOOKUP(A14,Albarán!$A$7:$D$16,3,0)," ")</f>
        <v>2132.9919584580434</v>
      </c>
      <c r="D14" s="14">
        <v>2</v>
      </c>
      <c r="E14" s="29">
        <f t="shared" si="0"/>
        <v>4265.9839169160869</v>
      </c>
    </row>
    <row r="15" spans="1:5" x14ac:dyDescent="0.2">
      <c r="A15" s="14">
        <v>103</v>
      </c>
      <c r="B15" s="28" t="str">
        <f>IFERROR(VLOOKUP(A15,Albarán!$A$7:$D$16,2,0)," ")</f>
        <v>Reposamuñecas Boeder</v>
      </c>
      <c r="C15" s="29">
        <f>IFERROR(VLOOKUP(A15,Albarán!$A$7:$D$16,3,0)," ")</f>
        <v>3.1192528217518301</v>
      </c>
      <c r="D15" s="14">
        <v>1</v>
      </c>
      <c r="E15" s="29">
        <f t="shared" si="0"/>
        <v>3.1192528217518301</v>
      </c>
    </row>
    <row r="16" spans="1:5" x14ac:dyDescent="0.2">
      <c r="A16" s="14">
        <v>116</v>
      </c>
      <c r="B16" s="28" t="str">
        <f>IFERROR(VLOOKUP(A16,Albarán!$A$7:$D$16,2,0)," ")</f>
        <v>Ratón boeder 205</v>
      </c>
      <c r="C16" s="29">
        <f>IFERROR(VLOOKUP(A16,Albarán!$A$7:$D$16,3,0)," ")</f>
        <v>9.015181565756734</v>
      </c>
      <c r="D16" s="14">
        <v>2</v>
      </c>
      <c r="E16" s="29">
        <f t="shared" si="0"/>
        <v>18.030363131513468</v>
      </c>
    </row>
    <row r="17" spans="1:8" x14ac:dyDescent="0.2">
      <c r="A17" s="14">
        <v>101</v>
      </c>
      <c r="B17" s="28" t="str">
        <f>IFERROR(VLOOKUP(A17,Albarán!$A$7:$D$16,2,0)," ")</f>
        <v>Packard Bell SPIRIT II 9800</v>
      </c>
      <c r="C17" s="29">
        <f>IFERROR(VLOOKUP(A17,Albarán!$A$7:$D$16,3,0)," ")</f>
        <v>2797.6812953012873</v>
      </c>
      <c r="D17" s="14">
        <v>1</v>
      </c>
      <c r="E17" s="29">
        <f t="shared" si="0"/>
        <v>2797.6812953012873</v>
      </c>
    </row>
    <row r="18" spans="1:8" x14ac:dyDescent="0.2">
      <c r="A18" s="14">
        <v>111</v>
      </c>
      <c r="B18" s="28" t="str">
        <f>IFERROR(VLOOKUP(A18,Albarán!$A$7:$D$16,2,0)," ")</f>
        <v>iMac DV Special Edition a 500 Mhz.</v>
      </c>
      <c r="C18" s="29">
        <f>IFERROR(VLOOKUP(A18,Albarán!$A$7:$D$16,3,0)," ")</f>
        <v>1472.4796557402667</v>
      </c>
      <c r="D18" s="14">
        <v>1</v>
      </c>
      <c r="E18" s="29">
        <f t="shared" si="0"/>
        <v>1472.4796557402667</v>
      </c>
    </row>
    <row r="19" spans="1:8" x14ac:dyDescent="0.2">
      <c r="A19" s="14">
        <v>112</v>
      </c>
      <c r="B19" s="28" t="str">
        <f>IFERROR(VLOOKUP(A19,Albarán!$A$7:$D$16,2,0)," ")</f>
        <v>Toshiba Equium 3300 Intel Pentium III</v>
      </c>
      <c r="C19" s="29">
        <f>IFERROR(VLOOKUP(A19,Albarán!$A$7:$D$16,3,0)," ")</f>
        <v>1291.5750123207481</v>
      </c>
      <c r="D19" s="14">
        <v>1</v>
      </c>
      <c r="E19" s="29">
        <f t="shared" si="0"/>
        <v>1291.5750123207481</v>
      </c>
    </row>
    <row r="20" spans="1:8" x14ac:dyDescent="0.2">
      <c r="A20" s="14">
        <v>115</v>
      </c>
      <c r="B20" s="28" t="str">
        <f>IFERROR(VLOOKUP(A20,Albarán!$A$7:$D$16,2,0)," ")</f>
        <v>Lexmark Z 32 Inyección tinta</v>
      </c>
      <c r="C20" s="29">
        <f>IFERROR(VLOOKUP(A20,Albarán!$A$7:$D$16,3,0)," ")</f>
        <v>107.58116668469704</v>
      </c>
      <c r="D20" s="14">
        <v>1</v>
      </c>
      <c r="E20" s="29">
        <f t="shared" si="0"/>
        <v>107.58116668469704</v>
      </c>
    </row>
    <row r="21" spans="1:8" x14ac:dyDescent="0.2">
      <c r="A21" s="14">
        <v>117</v>
      </c>
      <c r="B21" s="28" t="str">
        <f>IFERROR(VLOOKUP(A21,Albarán!$A$7:$D$16,2,0)," ")</f>
        <v>Cable Impresora bidireccional</v>
      </c>
      <c r="C21" s="29">
        <f>IFERROR(VLOOKUP(A21,Albarán!$A$7:$D$16,3,0)," ")</f>
        <v>7.2121452526053877</v>
      </c>
      <c r="D21" s="14">
        <v>3</v>
      </c>
      <c r="E21" s="29">
        <f t="shared" si="0"/>
        <v>21.636435757816162</v>
      </c>
    </row>
    <row r="22" spans="1:8" x14ac:dyDescent="0.2">
      <c r="A22" s="18" t="str">
        <f>IFERROR(VLOOKUP([1]Albarán!#REF!,[1]Albarán!$A$6:$D$15,1,1)," ")</f>
        <v xml:space="preserve"> </v>
      </c>
      <c r="B22" s="18" t="str">
        <f>IFERROR(VLOOKUP([1]Albarán!A16,[1]Albarán!$A$6:$D$15,2,0)," ")</f>
        <v xml:space="preserve"> </v>
      </c>
      <c r="C22" s="21" t="str">
        <f>IFERROR(VLOOKUP([1]Albarán!#REF!,[1]Albarán!$A$6:$D$15,3,1)," ")</f>
        <v xml:space="preserve"> </v>
      </c>
      <c r="D22" s="18" t="str">
        <f>IFERROR(VLOOKUP([1]Albarán!#REF!,[1]Albarán!$A$6:$D$15,4,1)," ")</f>
        <v xml:space="preserve"> </v>
      </c>
      <c r="E22" s="21" t="str">
        <f t="shared" ref="E22" si="1">IFERROR(C22*D22,"")</f>
        <v/>
      </c>
    </row>
    <row r="23" spans="1:8" x14ac:dyDescent="0.2">
      <c r="A23" s="18" t="str">
        <f>IF([1]Albarán!A16=0," ",[1]Albarán!A16)</f>
        <v xml:space="preserve"> </v>
      </c>
      <c r="C23" s="21"/>
      <c r="E23" s="21"/>
    </row>
    <row r="24" spans="1:8" x14ac:dyDescent="0.2">
      <c r="D24" s="22" t="s">
        <v>81</v>
      </c>
      <c r="E24" s="23">
        <f>SUM(E12:E22)</f>
        <v>10355.101991754113</v>
      </c>
      <c r="H24" s="21"/>
    </row>
    <row r="25" spans="1:8" x14ac:dyDescent="0.2">
      <c r="D25" s="22" t="s">
        <v>82</v>
      </c>
      <c r="E25" s="24">
        <f>IF(E24&gt;1000000,E24*20%,IF(AND(E24&gt;500000,E24&lt;1000000),E24*15%,IF(AND(E24&gt;250000,E24&lt;500000),E24*10%,IF(E24&lt;250000,E24*5%))))</f>
        <v>517.75509958770567</v>
      </c>
      <c r="H25" s="21"/>
    </row>
    <row r="26" spans="1:8" x14ac:dyDescent="0.2">
      <c r="D26" s="22" t="s">
        <v>83</v>
      </c>
      <c r="E26" s="24">
        <f>E24*16%</f>
        <v>1656.816318680658</v>
      </c>
      <c r="H26" s="21"/>
    </row>
    <row r="27" spans="1:8" x14ac:dyDescent="0.2">
      <c r="D27" s="22" t="s">
        <v>84</v>
      </c>
      <c r="E27" s="25">
        <f>E24+E26-E25</f>
        <v>11494.163210847064</v>
      </c>
    </row>
    <row r="29" spans="1:8" x14ac:dyDescent="0.2">
      <c r="A29" s="60" t="s">
        <v>85</v>
      </c>
      <c r="B29" s="61"/>
      <c r="C29" s="26">
        <f>COUNT(A12:A22)</f>
        <v>10</v>
      </c>
      <c r="D29" s="27"/>
    </row>
    <row r="30" spans="1:8" x14ac:dyDescent="0.2">
      <c r="A30" s="62">
        <f ca="1">TODAY()</f>
        <v>43788</v>
      </c>
      <c r="B30" s="63"/>
      <c r="C30" s="64"/>
    </row>
  </sheetData>
  <mergeCells count="10">
    <mergeCell ref="A1:E1"/>
    <mergeCell ref="A2:E2"/>
    <mergeCell ref="A3:E3"/>
    <mergeCell ref="A29:B29"/>
    <mergeCell ref="A30:C30"/>
    <mergeCell ref="B5:D5"/>
    <mergeCell ref="B6:D6"/>
    <mergeCell ref="B7:D7"/>
    <mergeCell ref="B8:D8"/>
    <mergeCell ref="B9:D9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8" r:id="rId3" name="CommandButton1">
          <controlPr defaultSize="0" autoLine="0" r:id="rId4">
            <anchor moveWithCells="1">
              <from>
                <xdr:col>6</xdr:col>
                <xdr:colOff>28575</xdr:colOff>
                <xdr:row>3</xdr:row>
                <xdr:rowOff>0</xdr:rowOff>
              </from>
              <to>
                <xdr:col>7</xdr:col>
                <xdr:colOff>723900</xdr:colOff>
                <xdr:row>5</xdr:row>
                <xdr:rowOff>9525</xdr:rowOff>
              </to>
            </anchor>
          </controlPr>
        </control>
      </mc:Choice>
      <mc:Fallback>
        <control shapeId="9218" r:id="rId3" name="CommandButton1"/>
      </mc:Fallback>
    </mc:AlternateContent>
    <mc:AlternateContent xmlns:mc="http://schemas.openxmlformats.org/markup-compatibility/2006">
      <mc:Choice Requires="x14">
        <control shapeId="9220" r:id="rId5" name="CommandButton2">
          <controlPr defaultSize="0" autoLine="0" autoPict="0" r:id="rId6">
            <anchor moveWithCells="1">
              <from>
                <xdr:col>6</xdr:col>
                <xdr:colOff>28575</xdr:colOff>
                <xdr:row>5</xdr:row>
                <xdr:rowOff>66675</xdr:rowOff>
              </from>
              <to>
                <xdr:col>7</xdr:col>
                <xdr:colOff>723900</xdr:colOff>
                <xdr:row>7</xdr:row>
                <xdr:rowOff>57150</xdr:rowOff>
              </to>
            </anchor>
          </controlPr>
        </control>
      </mc:Choice>
      <mc:Fallback>
        <control shapeId="9220" r:id="rId5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Productos!$A$2:$A$18</xm:f>
          </x14:formula1>
          <xm:sqref>A12:A21</xm:sqref>
        </x14:dataValidation>
        <x14:dataValidation type="list" allowBlank="1" showInputMessage="1" showErrorMessage="1">
          <x14:formula1>
            <xm:f>Clientes!$A$2:$A$7</xm:f>
          </x14:formula1>
          <xm:sqref>B5:D5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5</vt:i4>
      </vt:variant>
      <vt:variant>
        <vt:lpstr>Gráficos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8" baseType="lpstr">
      <vt:lpstr>Productos</vt:lpstr>
      <vt:lpstr>Clientes</vt:lpstr>
      <vt:lpstr>Consulta</vt:lpstr>
      <vt:lpstr>Albarán</vt:lpstr>
      <vt:lpstr>Factura</vt:lpstr>
      <vt:lpstr>Gráfico</vt:lpstr>
      <vt:lpstr>Clientes</vt:lpstr>
      <vt:lpstr>Productos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</dc:creator>
  <cp:lastModifiedBy>AndresRamos</cp:lastModifiedBy>
  <dcterms:created xsi:type="dcterms:W3CDTF">2006-06-16T07:27:25Z</dcterms:created>
  <dcterms:modified xsi:type="dcterms:W3CDTF">2019-11-19T13:06:23Z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38758a3d-67c6-4a0b-802d-502ee100eb6b</vt:lpwstr>
  </property>
</Properties>
</file>